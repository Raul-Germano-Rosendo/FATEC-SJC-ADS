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ulg\Downloads\"/>
    </mc:Choice>
  </mc:AlternateContent>
  <xr:revisionPtr revIDLastSave="0" documentId="13_ncr:1_{9D3EEB5F-6363-4C24-8CAC-71F0B8E04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 dos Resultados" sheetId="1" r:id="rId1"/>
    <sheet name="Cálculos Detalh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2" l="1"/>
  <c r="E14" i="2" s="1"/>
  <c r="H14" i="2" s="1"/>
  <c r="D13" i="2"/>
  <c r="E13" i="2" s="1"/>
  <c r="H8" i="2"/>
  <c r="C7" i="2"/>
  <c r="H6" i="2"/>
  <c r="H13" i="2" l="1"/>
</calcChain>
</file>

<file path=xl/sharedStrings.xml><?xml version="1.0" encoding="utf-8"?>
<sst xmlns="http://schemas.openxmlformats.org/spreadsheetml/2006/main" count="58" uniqueCount="52">
  <si>
    <t>Questão</t>
  </si>
  <si>
    <t>Tipo de Estimativa</t>
  </si>
  <si>
    <t>Margem de Erro</t>
  </si>
  <si>
    <t>Intervalo de Confiança / Resposta</t>
  </si>
  <si>
    <t>Gabarito Oficial</t>
  </si>
  <si>
    <t>Média 1</t>
  </si>
  <si>
    <t>Média de População Finita (N=500)</t>
  </si>
  <si>
    <t>1,75</t>
  </si>
  <si>
    <t>40,00 ± 1,75</t>
  </si>
  <si>
    <t>40 ± 1,75</t>
  </si>
  <si>
    <t>Média 2</t>
  </si>
  <si>
    <t>Tamanho de Amostra (Pop. Infinita)</t>
  </si>
  <si>
    <t>N/A</t>
  </si>
  <si>
    <t>n = 348</t>
  </si>
  <si>
    <t>348</t>
  </si>
  <si>
    <t>Média 3</t>
  </si>
  <si>
    <t>Média de População Finita (N=50)</t>
  </si>
  <si>
    <t>1,02</t>
  </si>
  <si>
    <t>20,00 ± 1,02</t>
  </si>
  <si>
    <t>20 ± 1,02</t>
  </si>
  <si>
    <t>Proporção 1</t>
  </si>
  <si>
    <t>Proporção Populacional (n=40)</t>
  </si>
  <si>
    <t>13,15%</t>
  </si>
  <si>
    <t>15,00% ± 13,15%</t>
  </si>
  <si>
    <t>0,15 ± 0,1315</t>
  </si>
  <si>
    <t>Proporção 2</t>
  </si>
  <si>
    <t>Proporção Populacional (n=1000)</t>
  </si>
  <si>
    <t>1,14%</t>
  </si>
  <si>
    <t>3,50% ± 1,14%</t>
  </si>
  <si>
    <t>0,035 ± 0,0114</t>
  </si>
  <si>
    <t>Memória de Cálculo Dinâmica</t>
  </si>
  <si>
    <t>1. Estimativa de Médias</t>
  </si>
  <si>
    <t>N (Pop)</t>
  </si>
  <si>
    <t>n (Amostra)</t>
  </si>
  <si>
    <t>Média (x̂)</t>
  </si>
  <si>
    <t>Desvio Pad. (s/σ)</t>
  </si>
  <si>
    <t>Confiança</t>
  </si>
  <si>
    <t>Z Crítico</t>
  </si>
  <si>
    <t>Erro (E)</t>
  </si>
  <si>
    <t>Ex 1 (Alimentação)</t>
  </si>
  <si>
    <t>Ex 2 (Tamanho Amostra)</t>
  </si>
  <si>
    <t>Infinita</t>
  </si>
  <si>
    <t>-</t>
  </si>
  <si>
    <t>Ex 3 (Vendedores)</t>
  </si>
  <si>
    <t>2. Estimativa de Proporções</t>
  </si>
  <si>
    <t>Sucessos (x)</t>
  </si>
  <si>
    <t>Proporção (p)</t>
  </si>
  <si>
    <t>Q (1-p)</t>
  </si>
  <si>
    <t>Ex 1 (Capacetes)</t>
  </si>
  <si>
    <t>Ex 2 (Peças Defeituosas)</t>
  </si>
  <si>
    <t>Lista 7 - Intervalos de Confiança</t>
  </si>
  <si>
    <t>Todos os cálculos batem 100% com o gabarito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</si>
</sst>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3"/>
      <color rgb="FF1F497D"/>
      <name val="Calibri"/>
    </font>
    <font>
      <sz val="9"/>
      <name val="Calibri"/>
      <family val="2"/>
    </font>
    <font>
      <b/>
      <sz val="16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C3E50"/>
        <bgColor rgb="FF2C3E50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0" sqref="A20"/>
    </sheetView>
  </sheetViews>
  <sheetFormatPr defaultRowHeight="14.4" x14ac:dyDescent="0.3"/>
  <cols>
    <col min="1" max="1" width="96" customWidth="1"/>
    <col min="2" max="2" width="32" customWidth="1"/>
    <col min="3" max="3" width="17" customWidth="1"/>
    <col min="4" max="4" width="30" customWidth="1"/>
    <col min="5" max="5" width="20" customWidth="1"/>
  </cols>
  <sheetData>
    <row r="1" spans="1:5" x14ac:dyDescent="0.3">
      <c r="A1" s="15" t="s">
        <v>50</v>
      </c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4" spans="1:5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3">
      <c r="A5" s="2" t="s">
        <v>5</v>
      </c>
      <c r="B5" s="3" t="s">
        <v>6</v>
      </c>
      <c r="C5" s="4" t="s">
        <v>7</v>
      </c>
      <c r="D5" s="4" t="s">
        <v>8</v>
      </c>
      <c r="E5" s="4" t="s">
        <v>9</v>
      </c>
    </row>
    <row r="6" spans="1:5" x14ac:dyDescent="0.3">
      <c r="A6" s="5" t="s">
        <v>10</v>
      </c>
      <c r="B6" s="6" t="s">
        <v>11</v>
      </c>
      <c r="C6" s="7" t="s">
        <v>12</v>
      </c>
      <c r="D6" s="7" t="s">
        <v>13</v>
      </c>
      <c r="E6" s="7" t="s">
        <v>14</v>
      </c>
    </row>
    <row r="7" spans="1:5" x14ac:dyDescent="0.3">
      <c r="A7" s="2" t="s">
        <v>15</v>
      </c>
      <c r="B7" s="3" t="s">
        <v>16</v>
      </c>
      <c r="C7" s="4" t="s">
        <v>17</v>
      </c>
      <c r="D7" s="4" t="s">
        <v>18</v>
      </c>
      <c r="E7" s="4" t="s">
        <v>19</v>
      </c>
    </row>
    <row r="8" spans="1:5" x14ac:dyDescent="0.3">
      <c r="A8" s="5" t="s">
        <v>20</v>
      </c>
      <c r="B8" s="6" t="s">
        <v>21</v>
      </c>
      <c r="C8" s="7" t="s">
        <v>22</v>
      </c>
      <c r="D8" s="7" t="s">
        <v>23</v>
      </c>
      <c r="E8" s="7" t="s">
        <v>24</v>
      </c>
    </row>
    <row r="9" spans="1:5" x14ac:dyDescent="0.3">
      <c r="A9" s="2" t="s">
        <v>25</v>
      </c>
      <c r="B9" s="3" t="s">
        <v>26</v>
      </c>
      <c r="C9" s="4" t="s">
        <v>27</v>
      </c>
      <c r="D9" s="4" t="s">
        <v>28</v>
      </c>
      <c r="E9" s="4" t="s">
        <v>29</v>
      </c>
    </row>
    <row r="11" spans="1:5" x14ac:dyDescent="0.3">
      <c r="A11" s="14" t="s">
        <v>51</v>
      </c>
    </row>
    <row r="20" spans="1:1" x14ac:dyDescent="0.3">
      <c r="A20" s="19"/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4.4" x14ac:dyDescent="0.3"/>
  <cols>
    <col min="1" max="1" width="24" customWidth="1"/>
    <col min="2" max="2" width="14" customWidth="1"/>
    <col min="3" max="3" width="33" customWidth="1"/>
    <col min="4" max="4" width="16" customWidth="1"/>
    <col min="5" max="5" width="18" customWidth="1"/>
    <col min="6" max="7" width="12" customWidth="1"/>
    <col min="8" max="8" width="41" customWidth="1"/>
  </cols>
  <sheetData>
    <row r="1" spans="1:8" x14ac:dyDescent="0.3">
      <c r="A1" s="18" t="s">
        <v>30</v>
      </c>
      <c r="B1" s="16"/>
      <c r="C1" s="16"/>
      <c r="D1" s="16"/>
      <c r="E1" s="16"/>
      <c r="F1" s="16"/>
      <c r="G1" s="16"/>
    </row>
    <row r="2" spans="1:8" x14ac:dyDescent="0.3">
      <c r="A2" s="16"/>
      <c r="B2" s="16"/>
      <c r="C2" s="16"/>
      <c r="D2" s="16"/>
      <c r="E2" s="16"/>
      <c r="F2" s="16"/>
      <c r="G2" s="16"/>
    </row>
    <row r="4" spans="1:8" ht="24" customHeight="1" x14ac:dyDescent="0.3">
      <c r="A4" s="17" t="s">
        <v>31</v>
      </c>
      <c r="B4" s="16"/>
      <c r="C4" s="16"/>
      <c r="D4" s="16"/>
      <c r="E4" s="16"/>
      <c r="F4" s="16"/>
      <c r="G4" s="16"/>
    </row>
    <row r="5" spans="1:8" x14ac:dyDescent="0.3">
      <c r="A5" s="8" t="s">
        <v>0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</row>
    <row r="6" spans="1:8" x14ac:dyDescent="0.3">
      <c r="A6" s="9" t="s">
        <v>39</v>
      </c>
      <c r="B6" s="4">
        <v>500</v>
      </c>
      <c r="C6" s="4">
        <v>100</v>
      </c>
      <c r="D6" s="10">
        <v>40</v>
      </c>
      <c r="E6" s="10">
        <v>10</v>
      </c>
      <c r="F6" s="11">
        <v>0.95</v>
      </c>
      <c r="G6" s="4">
        <v>1.96</v>
      </c>
      <c r="H6" s="10">
        <f>G6*(E6/SQRT(C6))*SQRT((B6-C6)/(B6-1))</f>
        <v>1.7548330056605133</v>
      </c>
    </row>
    <row r="7" spans="1:8" x14ac:dyDescent="0.3">
      <c r="A7" s="9" t="s">
        <v>40</v>
      </c>
      <c r="B7" s="4" t="s">
        <v>41</v>
      </c>
      <c r="C7" s="12">
        <f>ROUNDUP((G7^2*E7^2)/0.5^2, 0)</f>
        <v>348</v>
      </c>
      <c r="D7" s="9" t="s">
        <v>42</v>
      </c>
      <c r="E7" s="10">
        <v>4</v>
      </c>
      <c r="F7" s="11">
        <v>0.98</v>
      </c>
      <c r="G7" s="4">
        <v>2.33</v>
      </c>
      <c r="H7" s="10">
        <v>0.5</v>
      </c>
    </row>
    <row r="8" spans="1:8" x14ac:dyDescent="0.3">
      <c r="A8" s="9" t="s">
        <v>43</v>
      </c>
      <c r="B8" s="4">
        <v>50</v>
      </c>
      <c r="C8" s="4">
        <v>15</v>
      </c>
      <c r="D8" s="10">
        <v>20</v>
      </c>
      <c r="E8" s="10">
        <v>2</v>
      </c>
      <c r="F8" s="11">
        <v>0.98</v>
      </c>
      <c r="G8" s="4">
        <v>2.33</v>
      </c>
      <c r="H8" s="10">
        <f>G8*(E8/SQRT(C8))*SQRT((B8-C8)/(B8-1))</f>
        <v>1.0168953684997244</v>
      </c>
    </row>
    <row r="11" spans="1:8" ht="24" customHeight="1" x14ac:dyDescent="0.3">
      <c r="A11" s="17" t="s">
        <v>44</v>
      </c>
      <c r="B11" s="16"/>
      <c r="C11" s="16"/>
      <c r="D11" s="16"/>
      <c r="E11" s="16"/>
      <c r="F11" s="16"/>
      <c r="G11" s="16"/>
    </row>
    <row r="12" spans="1:8" x14ac:dyDescent="0.3">
      <c r="A12" s="8" t="s">
        <v>0</v>
      </c>
      <c r="B12" s="8" t="s">
        <v>33</v>
      </c>
      <c r="C12" s="8" t="s">
        <v>45</v>
      </c>
      <c r="D12" s="8" t="s">
        <v>46</v>
      </c>
      <c r="E12" s="8" t="s">
        <v>47</v>
      </c>
      <c r="F12" s="8" t="s">
        <v>36</v>
      </c>
      <c r="G12" s="8" t="s">
        <v>37</v>
      </c>
      <c r="H12" s="8" t="s">
        <v>38</v>
      </c>
    </row>
    <row r="13" spans="1:8" x14ac:dyDescent="0.3">
      <c r="A13" s="9" t="s">
        <v>48</v>
      </c>
      <c r="B13" s="4">
        <v>40</v>
      </c>
      <c r="C13" s="4">
        <v>6</v>
      </c>
      <c r="D13" s="13">
        <f>C13/B13</f>
        <v>0.15</v>
      </c>
      <c r="E13" s="13">
        <f>1-D13</f>
        <v>0.85</v>
      </c>
      <c r="F13" s="13">
        <v>0.98</v>
      </c>
      <c r="G13" s="4">
        <v>2.33</v>
      </c>
      <c r="H13" s="13">
        <f>G13*SQRT((D13*E13)/B13)</f>
        <v>0.1315470210609119</v>
      </c>
    </row>
    <row r="14" spans="1:8" x14ac:dyDescent="0.3">
      <c r="A14" s="9" t="s">
        <v>49</v>
      </c>
      <c r="B14" s="4">
        <v>1000</v>
      </c>
      <c r="C14" s="4">
        <v>35</v>
      </c>
      <c r="D14" s="13">
        <f>C14/B14</f>
        <v>3.5000000000000003E-2</v>
      </c>
      <c r="E14" s="13">
        <f>1-D14</f>
        <v>0.96499999999999997</v>
      </c>
      <c r="F14" s="13">
        <v>0.95</v>
      </c>
      <c r="G14" s="4">
        <v>1.96</v>
      </c>
      <c r="H14" s="13">
        <f>G14*SQRT((D14*E14)/B14)</f>
        <v>1.1390787505699508E-2</v>
      </c>
    </row>
  </sheetData>
  <mergeCells count="3">
    <mergeCell ref="A11:G11"/>
    <mergeCell ref="A4:G4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dos Resultados</vt:lpstr>
      <vt:lpstr>Cálculos Detalhados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GERMANO ROSENDO DE OLIVEIRA DUARTE</cp:lastModifiedBy>
  <dcterms:created xsi:type="dcterms:W3CDTF">2026-06-18T18:09:45Z</dcterms:created>
  <dcterms:modified xsi:type="dcterms:W3CDTF">2026-06-18T18:23:22Z</dcterms:modified>
</cp:coreProperties>
</file>