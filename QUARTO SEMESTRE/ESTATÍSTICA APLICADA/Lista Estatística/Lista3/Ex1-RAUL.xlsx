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lg\Desktop\FATEC-SJC-ADS\QUARTO SEMESTRE\ESTATÍSTICA APLICADA\Lista Estatística\Lista2\"/>
    </mc:Choice>
  </mc:AlternateContent>
  <xr:revisionPtr revIDLastSave="0" documentId="8_{E8785188-E3F4-4B06-AE5A-BEFA4D66264E}" xr6:coauthVersionLast="47" xr6:coauthVersionMax="47" xr10:uidLastSave="{00000000-0000-0000-0000-000000000000}"/>
  <bookViews>
    <workbookView xWindow="-108" yWindow="-108" windowWidth="23256" windowHeight="12456" xr2:uid="{A9FEC25A-1A9C-4766-9AF9-96D1F1965D79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" i="1" l="1"/>
  <c r="C14" i="1" s="1"/>
  <c r="D16" i="1"/>
</calcChain>
</file>

<file path=xl/sharedStrings.xml><?xml version="1.0" encoding="utf-8"?>
<sst xmlns="http://schemas.openxmlformats.org/spreadsheetml/2006/main" count="7" uniqueCount="7">
  <si>
    <t>N°</t>
  </si>
  <si>
    <t>Período por Mês</t>
  </si>
  <si>
    <t>Valor do Dolar em R$</t>
  </si>
  <si>
    <t xml:space="preserve">Correlação Linear Positiva Forte </t>
  </si>
  <si>
    <t>A-Coeficiente de Correlação Linear -&gt; R=</t>
  </si>
  <si>
    <t>C- Previsão Linear de Maio de 2026 -&gt;</t>
  </si>
  <si>
    <t>B-Tipo de Correlação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</si>
</sst>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2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center" wrapText="1"/>
    </xf>
    <xf numFmtId="17" fontId="2" fillId="0" borderId="3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7" fontId="4" fillId="3" borderId="5" xfId="0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/>
    </xf>
    <xf numFmtId="0" fontId="0" fillId="4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Variação da cotação do dólar (USD/BRL) nos últimos 12 meses</a:t>
            </a:r>
          </a:p>
          <a:p>
            <a:pPr algn="ctr" rtl="0">
              <a:defRPr/>
            </a:pPr>
            <a:r>
              <a:rPr lang="pt-BR"/>
              <a:t>Fonte: TradingView – dados de mercado USD/BRL</a:t>
            </a:r>
          </a:p>
        </c:rich>
      </c:tx>
      <c:layout>
        <c:manualLayout>
          <c:xMode val="edge"/>
          <c:yMode val="edge"/>
          <c:x val="0.12465098878071046"/>
          <c:y val="5.10560379194870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[1]Plan1!$D$2</c:f>
              <c:strCache>
                <c:ptCount val="1"/>
                <c:pt idx="0">
                  <c:v>Valor do Dolar em R$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192603215713235"/>
                  <c:y val="-3.96208393917413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[1]Plan1!$B$3:$B$14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[1]Plan1!$D$3:$D$14</c:f>
              <c:numCache>
                <c:formatCode>General</c:formatCode>
                <c:ptCount val="12"/>
                <c:pt idx="0">
                  <c:v>5.1624999999999996</c:v>
                </c:pt>
                <c:pt idx="1">
                  <c:v>5.1711999999999998</c:v>
                </c:pt>
                <c:pt idx="2">
                  <c:v>5.2603999999999997</c:v>
                </c:pt>
                <c:pt idx="3">
                  <c:v>5.4222999999999999</c:v>
                </c:pt>
                <c:pt idx="4">
                  <c:v>5.3273999999999999</c:v>
                </c:pt>
                <c:pt idx="5">
                  <c:v>5.3567999999999998</c:v>
                </c:pt>
                <c:pt idx="6">
                  <c:v>5.3390000000000004</c:v>
                </c:pt>
                <c:pt idx="7">
                  <c:v>5.4686000000000003</c:v>
                </c:pt>
                <c:pt idx="8">
                  <c:v>5.4969000000000001</c:v>
                </c:pt>
                <c:pt idx="9">
                  <c:v>5.4264999999999999</c:v>
                </c:pt>
                <c:pt idx="10">
                  <c:v>5.6737000000000002</c:v>
                </c:pt>
                <c:pt idx="11">
                  <c:v>5.6570999999999998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DD8-4BE9-B379-1C36F44F4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303631"/>
        <c:axId val="905300751"/>
      </c:scatterChart>
      <c:valAx>
        <c:axId val="905303631"/>
        <c:scaling>
          <c:orientation val="minMax"/>
          <c:max val="1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7030A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5300751"/>
        <c:crosses val="autoZero"/>
        <c:crossBetween val="midCat"/>
      </c:valAx>
      <c:valAx>
        <c:axId val="905300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DOLAR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57257D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5303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rgbClr val="57257D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410880</xdr:colOff>
      <xdr:row>0</xdr:row>
      <xdr:rowOff>59765</xdr:rowOff>
    </xdr:from>
    <xdr:to>
      <xdr:col>9</xdr:col>
      <xdr:colOff>605116</xdr:colOff>
      <xdr:row>13</xdr:row>
      <xdr:rowOff>180415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FE7035-0A73-4C94-B355-A6042933A3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ulg\Downloads\Exerc&#237;cio%201%20lista3.XLSX" TargetMode="External"/><Relationship Id="rId1" Type="http://schemas.openxmlformats.org/officeDocument/2006/relationships/externalLinkPath" Target="/Users/raulg/Downloads/Exerc&#237;cio%201%20lista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1"/>
    </sheetNames>
    <sheetDataSet>
      <sheetData sheetId="0">
        <row r="2">
          <cell r="D2" t="str">
            <v>Valor do Dolar em R$</v>
          </cell>
        </row>
        <row r="3">
          <cell r="B3">
            <v>1</v>
          </cell>
          <cell r="D3">
            <v>5.1624999999999996</v>
          </cell>
        </row>
        <row r="4">
          <cell r="B4">
            <v>2</v>
          </cell>
          <cell r="D4">
            <v>5.1711999999999998</v>
          </cell>
        </row>
        <row r="5">
          <cell r="B5">
            <v>3</v>
          </cell>
          <cell r="D5">
            <v>5.2603999999999997</v>
          </cell>
        </row>
        <row r="6">
          <cell r="B6">
            <v>4</v>
          </cell>
          <cell r="D6">
            <v>5.4222999999999999</v>
          </cell>
        </row>
        <row r="7">
          <cell r="B7">
            <v>5</v>
          </cell>
          <cell r="D7">
            <v>5.3273999999999999</v>
          </cell>
        </row>
        <row r="8">
          <cell r="B8">
            <v>6</v>
          </cell>
          <cell r="D8">
            <v>5.3567999999999998</v>
          </cell>
        </row>
        <row r="9">
          <cell r="B9">
            <v>7</v>
          </cell>
          <cell r="D9">
            <v>5.3390000000000004</v>
          </cell>
        </row>
        <row r="10">
          <cell r="B10">
            <v>8</v>
          </cell>
          <cell r="D10">
            <v>5.4686000000000003</v>
          </cell>
        </row>
        <row r="11">
          <cell r="B11">
            <v>9</v>
          </cell>
          <cell r="D11">
            <v>5.4969000000000001</v>
          </cell>
        </row>
        <row r="12">
          <cell r="B12">
            <v>10</v>
          </cell>
          <cell r="D12">
            <v>5.4264999999999999</v>
          </cell>
        </row>
        <row r="13">
          <cell r="B13">
            <v>11</v>
          </cell>
          <cell r="D13">
            <v>5.6737000000000002</v>
          </cell>
        </row>
        <row r="14">
          <cell r="B14">
            <v>12</v>
          </cell>
          <cell r="D14">
            <v>5.6570999999999998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1218-C46A-49EC-8F37-BE242F4AA7AC}">
  <dimension ref="A1:J20"/>
  <sheetViews>
    <sheetView tabSelected="1" workbookViewId="0">
      <selection activeCell="G19" sqref="G19"/>
    </sheetView>
  </sheetViews>
  <sheetFormatPr defaultRowHeight="14.4" x14ac:dyDescent="0.3"/>
  <cols>
    <col min="3" max="3" width="37.5546875" customWidth="1"/>
  </cols>
  <sheetData>
    <row r="1" spans="1:4" ht="43.2" x14ac:dyDescent="0.3">
      <c r="A1" s="3" t="s">
        <v>0</v>
      </c>
      <c r="B1" s="3" t="s">
        <v>1</v>
      </c>
      <c r="C1" s="4" t="s">
        <v>2</v>
      </c>
    </row>
    <row r="2" spans="1:4" ht="15.6" x14ac:dyDescent="0.3">
      <c r="A2" s="5">
        <v>1</v>
      </c>
      <c r="B2" s="6">
        <v>45778</v>
      </c>
      <c r="C2" s="7">
        <v>5.1624999999999996</v>
      </c>
    </row>
    <row r="3" spans="1:4" ht="15.6" x14ac:dyDescent="0.3">
      <c r="A3" s="5">
        <v>2</v>
      </c>
      <c r="B3" s="6">
        <v>45809</v>
      </c>
      <c r="C3" s="7">
        <v>5.1711999999999998</v>
      </c>
    </row>
    <row r="4" spans="1:4" ht="15.6" x14ac:dyDescent="0.3">
      <c r="A4" s="5">
        <v>3</v>
      </c>
      <c r="B4" s="6">
        <v>45839</v>
      </c>
      <c r="C4" s="7">
        <v>5.2603999999999997</v>
      </c>
    </row>
    <row r="5" spans="1:4" ht="15.6" x14ac:dyDescent="0.3">
      <c r="A5" s="5">
        <v>4</v>
      </c>
      <c r="B5" s="6">
        <v>45870</v>
      </c>
      <c r="C5" s="7">
        <v>5.4222999999999999</v>
      </c>
    </row>
    <row r="6" spans="1:4" ht="15.6" x14ac:dyDescent="0.3">
      <c r="A6" s="5">
        <v>5</v>
      </c>
      <c r="B6" s="6">
        <v>45901</v>
      </c>
      <c r="C6" s="7">
        <v>5.3273999999999999</v>
      </c>
    </row>
    <row r="7" spans="1:4" ht="15.6" x14ac:dyDescent="0.3">
      <c r="A7" s="5">
        <v>6</v>
      </c>
      <c r="B7" s="6">
        <v>45931</v>
      </c>
      <c r="C7" s="7">
        <v>5.3567999999999998</v>
      </c>
    </row>
    <row r="8" spans="1:4" ht="15.6" x14ac:dyDescent="0.3">
      <c r="A8" s="5">
        <v>7</v>
      </c>
      <c r="B8" s="6">
        <v>45962</v>
      </c>
      <c r="C8" s="7">
        <v>5.3390000000000004</v>
      </c>
    </row>
    <row r="9" spans="1:4" ht="15.6" x14ac:dyDescent="0.3">
      <c r="A9" s="5">
        <v>8</v>
      </c>
      <c r="B9" s="6">
        <v>45992</v>
      </c>
      <c r="C9" s="7">
        <v>5.4686000000000003</v>
      </c>
    </row>
    <row r="10" spans="1:4" ht="15.6" x14ac:dyDescent="0.3">
      <c r="A10" s="5">
        <v>9</v>
      </c>
      <c r="B10" s="6">
        <v>46023</v>
      </c>
      <c r="C10" s="7">
        <v>5.4969000000000001</v>
      </c>
    </row>
    <row r="11" spans="1:4" ht="15.6" x14ac:dyDescent="0.3">
      <c r="A11" s="5">
        <v>10</v>
      </c>
      <c r="B11" s="6">
        <v>46054</v>
      </c>
      <c r="C11" s="7">
        <v>5.4264999999999999</v>
      </c>
    </row>
    <row r="12" spans="1:4" ht="15.6" x14ac:dyDescent="0.3">
      <c r="A12" s="5">
        <v>11</v>
      </c>
      <c r="B12" s="6">
        <v>46082</v>
      </c>
      <c r="C12" s="7">
        <v>5.6737000000000002</v>
      </c>
    </row>
    <row r="13" spans="1:4" ht="15.6" x14ac:dyDescent="0.3">
      <c r="A13" s="5">
        <v>12</v>
      </c>
      <c r="B13" s="6">
        <v>46113</v>
      </c>
      <c r="C13" s="7">
        <v>5.6570999999999998</v>
      </c>
    </row>
    <row r="14" spans="1:4" ht="15.6" x14ac:dyDescent="0.3">
      <c r="A14" s="8">
        <v>13</v>
      </c>
      <c r="B14" s="9">
        <v>46143</v>
      </c>
      <c r="C14" s="8">
        <f>D20</f>
        <v>5.6674257575757574</v>
      </c>
    </row>
    <row r="16" spans="1:4" ht="15.6" x14ac:dyDescent="0.3">
      <c r="A16" s="10" t="s">
        <v>4</v>
      </c>
      <c r="B16" s="10"/>
      <c r="C16" s="11"/>
      <c r="D16" s="1">
        <f>CORREL(B2:B13,C2:C13)</f>
        <v>0.91431501137849591</v>
      </c>
    </row>
    <row r="17" spans="1:10" ht="15.6" x14ac:dyDescent="0.3">
      <c r="E17" s="1"/>
    </row>
    <row r="18" spans="1:10" ht="15.6" x14ac:dyDescent="0.3">
      <c r="A18" s="10" t="s">
        <v>6</v>
      </c>
      <c r="B18" s="10"/>
      <c r="C18" s="11"/>
      <c r="D18" s="1" t="s">
        <v>3</v>
      </c>
      <c r="E18" s="2"/>
      <c r="F18" s="2"/>
      <c r="G18" s="2"/>
      <c r="H18" s="2"/>
      <c r="I18" s="2"/>
      <c r="J18" s="2"/>
    </row>
    <row r="20" spans="1:10" ht="15.6" x14ac:dyDescent="0.3">
      <c r="A20" s="10" t="s">
        <v>5</v>
      </c>
      <c r="B20" s="10"/>
      <c r="C20" s="11"/>
      <c r="D20" s="2">
        <f>_xlfn.FORECAST.LINEAR(A14,C2:C13,A2:A13)</f>
        <v>5.6674257575757574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GERMANO ROSENDO DE OLIVEIRA DUARTE</dc:creator>
  <cp:lastModifiedBy>RAUL GERMANO ROSENDO DE OLIVEIRA DUARTE</cp:lastModifiedBy>
  <dcterms:created xsi:type="dcterms:W3CDTF">2026-04-23T00:08:52Z</dcterms:created>
  <dcterms:modified xsi:type="dcterms:W3CDTF">2026-04-23T00:13:35Z</dcterms:modified>
</cp:coreProperties>
</file>